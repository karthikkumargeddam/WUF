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PRINTED  AND EMBROIDERY BUNDLES/HI VISIBILITY BUNDLE/Hi Vis Bundle 7/"/>
    </mc:Choice>
  </mc:AlternateContent>
  <xr:revisionPtr revIDLastSave="9" documentId="8_{1073111F-9A2F-40E9-96AF-2DFBE9AA15AE}" xr6:coauthVersionLast="47" xr6:coauthVersionMax="47" xr10:uidLastSave="{4BDE36DD-F3BB-4558-85A9-C23CEEFE0475}"/>
  <bookViews>
    <workbookView xWindow="-110" yWindow="-110" windowWidth="19420" windowHeight="10300" xr2:uid="{9BAA7266-F60D-43A7-99E4-F4C541B4F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D15" i="1"/>
  <c r="E11" i="1"/>
  <c r="C11" i="1"/>
  <c r="D6" i="1"/>
  <c r="G3" i="1"/>
  <c r="E3" i="1"/>
  <c r="C3" i="1"/>
  <c r="D8" i="1"/>
  <c r="G11" i="1" l="1"/>
  <c r="D14" i="1" s="1"/>
  <c r="D16" i="1"/>
</calcChain>
</file>

<file path=xl/sharedStrings.xml><?xml version="1.0" encoding="utf-8"?>
<sst xmlns="http://schemas.openxmlformats.org/spreadsheetml/2006/main" count="27" uniqueCount="14">
  <si>
    <t>Product Code</t>
  </si>
  <si>
    <t>Price (1)</t>
  </si>
  <si>
    <t>Price incl VAT</t>
  </si>
  <si>
    <t>Embroidery</t>
  </si>
  <si>
    <t>Total (1)</t>
  </si>
  <si>
    <t>Qty</t>
  </si>
  <si>
    <t xml:space="preserve">Bundle </t>
  </si>
  <si>
    <t>Delivery</t>
  </si>
  <si>
    <t>Setup Cost</t>
  </si>
  <si>
    <t>Total Cost</t>
  </si>
  <si>
    <t>Price</t>
  </si>
  <si>
    <t>Margin</t>
  </si>
  <si>
    <t>HI VIZ BUNDLE 7</t>
  </si>
  <si>
    <t>RG558 Hi Viz Fleece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</si>
</sst>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9FC96-7674-4FC5-8474-16C245C77DA1}">
  <dimension ref="A1:G20"/>
  <sheetViews>
    <sheetView tabSelected="1" workbookViewId="0">
      <selection activeCell="D15" sqref="D15"/>
    </sheetView>
  </sheetViews>
  <sheetFormatPr defaultRowHeight="14.5" x14ac:dyDescent="0.35"/>
  <cols>
    <col min="1" max="1" width="22.6328125" bestFit="1" customWidth="1"/>
  </cols>
  <sheetData>
    <row r="1" spans="1:7" x14ac:dyDescent="0.35">
      <c r="A1" t="s">
        <v>12</v>
      </c>
    </row>
    <row r="2" spans="1:7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 spans="1:7" x14ac:dyDescent="0.35">
      <c r="A3" s="4" t="s">
        <v>13</v>
      </c>
      <c r="B3">
        <v>14.95</v>
      </c>
      <c r="C3">
        <f>B3*120%</f>
        <v>17.939999999999998</v>
      </c>
      <c r="D3">
        <v>3.6</v>
      </c>
      <c r="E3">
        <f>D3+C3</f>
        <v>21.54</v>
      </c>
      <c r="F3">
        <v>4</v>
      </c>
      <c r="G3" s="5">
        <f>F3*E3</f>
        <v>86.16</v>
      </c>
    </row>
    <row r="4" spans="1:7" x14ac:dyDescent="0.35">
      <c r="A4" s="4"/>
      <c r="C4" t="s">
        <v>7</v>
      </c>
      <c r="D4">
        <v>6</v>
      </c>
      <c r="G4" s="5"/>
    </row>
    <row r="5" spans="1:7" x14ac:dyDescent="0.35">
      <c r="A5" s="4"/>
      <c r="C5" t="s">
        <v>8</v>
      </c>
      <c r="D5">
        <v>10</v>
      </c>
      <c r="G5" s="5"/>
    </row>
    <row r="6" spans="1:7" x14ac:dyDescent="0.35">
      <c r="A6" s="4"/>
      <c r="C6" t="s">
        <v>9</v>
      </c>
      <c r="D6">
        <f>G3+D4+D5</f>
        <v>102.16</v>
      </c>
      <c r="G6" s="5"/>
    </row>
    <row r="7" spans="1:7" x14ac:dyDescent="0.35">
      <c r="A7" s="4"/>
      <c r="C7" t="s">
        <v>10</v>
      </c>
      <c r="D7">
        <v>140</v>
      </c>
      <c r="G7" s="5"/>
    </row>
    <row r="8" spans="1:7" x14ac:dyDescent="0.35">
      <c r="A8" s="6"/>
      <c r="B8" s="7"/>
      <c r="C8" s="7" t="s">
        <v>11</v>
      </c>
      <c r="D8" s="7">
        <f>D7-D6</f>
        <v>37.840000000000003</v>
      </c>
      <c r="E8" s="7"/>
      <c r="F8" s="7"/>
      <c r="G8" s="8"/>
    </row>
    <row r="10" spans="1:7" x14ac:dyDescent="0.35">
      <c r="A10" s="1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3" t="s">
        <v>6</v>
      </c>
    </row>
    <row r="11" spans="1:7" x14ac:dyDescent="0.35">
      <c r="A11" s="4" t="s">
        <v>13</v>
      </c>
      <c r="B11">
        <v>14.95</v>
      </c>
      <c r="C11">
        <f>B11*120%</f>
        <v>17.939999999999998</v>
      </c>
      <c r="D11">
        <v>3.6</v>
      </c>
      <c r="E11">
        <f>D11+B11</f>
        <v>18.55</v>
      </c>
      <c r="F11">
        <v>4</v>
      </c>
      <c r="G11" s="5">
        <f>F11*E11</f>
        <v>74.2</v>
      </c>
    </row>
    <row r="12" spans="1:7" x14ac:dyDescent="0.35">
      <c r="A12" s="4"/>
      <c r="C12" t="s">
        <v>7</v>
      </c>
      <c r="D12">
        <v>6</v>
      </c>
      <c r="G12" s="5"/>
    </row>
    <row r="13" spans="1:7" x14ac:dyDescent="0.35">
      <c r="A13" s="4"/>
      <c r="C13" t="s">
        <v>8</v>
      </c>
      <c r="D13">
        <v>10</v>
      </c>
      <c r="G13" s="5"/>
    </row>
    <row r="14" spans="1:7" x14ac:dyDescent="0.35">
      <c r="A14" s="4"/>
      <c r="C14" t="s">
        <v>9</v>
      </c>
      <c r="D14">
        <f>G11+D12+D13</f>
        <v>90.2</v>
      </c>
      <c r="G14" s="5"/>
    </row>
    <row r="15" spans="1:7" x14ac:dyDescent="0.35">
      <c r="A15" s="4"/>
      <c r="C15" t="s">
        <v>10</v>
      </c>
      <c r="D15">
        <f>140/1.2</f>
        <v>116.66666666666667</v>
      </c>
      <c r="G15" s="5"/>
    </row>
    <row r="16" spans="1:7" x14ac:dyDescent="0.35">
      <c r="A16" s="6"/>
      <c r="B16" s="7"/>
      <c r="C16" s="7" t="s">
        <v>11</v>
      </c>
      <c r="D16" s="7">
        <f>D15-D14</f>
        <v>26.466666666666669</v>
      </c>
      <c r="E16" s="7"/>
      <c r="F16" s="7"/>
      <c r="G16" s="8"/>
    </row>
    <row r="20" spans="6:6" x14ac:dyDescent="0.35">
      <c r="F20">
        <f>140/4</f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dcterms:created xsi:type="dcterms:W3CDTF">2025-07-27T13:53:56Z</dcterms:created>
  <dcterms:modified xsi:type="dcterms:W3CDTF">2025-07-28T21:04:07Z</dcterms:modified>
</cp:coreProperties>
</file>