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e8348742041535/Desktop/Miha/PRODUCTS/PRINTED  AND EMBROIDERY BUNDLES/HI VISIBILITY BUNDLE/Hi Vis Bundle 4    PRINTED ONLY/"/>
    </mc:Choice>
  </mc:AlternateContent>
  <xr:revisionPtr revIDLastSave="29" documentId="8_{885F230D-835B-4946-93D0-C715A7B87C5B}" xr6:coauthVersionLast="47" xr6:coauthVersionMax="47" xr10:uidLastSave="{63105D1F-698C-490D-8842-41B31EC10666}"/>
  <bookViews>
    <workbookView xWindow="-110" yWindow="-110" windowWidth="19420" windowHeight="11620" xr2:uid="{8DAD881E-898C-40DD-8962-4990FCE19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J6" i="1"/>
  <c r="J5" i="1"/>
  <c r="J3" i="1"/>
  <c r="E16" i="1"/>
  <c r="G16" i="1" s="1"/>
  <c r="E15" i="1"/>
  <c r="C16" i="1"/>
  <c r="C15" i="1"/>
  <c r="E3" i="1"/>
  <c r="E4" i="1"/>
  <c r="G4" i="1"/>
  <c r="C4" i="1"/>
  <c r="C3" i="1"/>
  <c r="G3" i="1" l="1"/>
  <c r="D7" i="1" s="1"/>
  <c r="D9" i="1"/>
  <c r="D19" i="1" l="1"/>
  <c r="D21" i="1" s="1"/>
</calcChain>
</file>

<file path=xl/sharedStrings.xml><?xml version="1.0" encoding="utf-8"?>
<sst xmlns="http://schemas.openxmlformats.org/spreadsheetml/2006/main" count="27" uniqueCount="14">
  <si>
    <t>Product Code</t>
  </si>
  <si>
    <t>Price (1)</t>
  </si>
  <si>
    <t>Price incl VAT</t>
  </si>
  <si>
    <t>Total (1)</t>
  </si>
  <si>
    <t>Qty</t>
  </si>
  <si>
    <t xml:space="preserve">Bundle </t>
  </si>
  <si>
    <t>Delivery</t>
  </si>
  <si>
    <t>Total Cost</t>
  </si>
  <si>
    <t>Price</t>
  </si>
  <si>
    <t>Margin</t>
  </si>
  <si>
    <t>HIGH VIZ BUNDLE 4</t>
  </si>
  <si>
    <t>RS200E</t>
  </si>
  <si>
    <t>Printing</t>
  </si>
  <si>
    <t>RS200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</si>
</sst>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2BD94-4BAD-4EEC-9565-797565F6CE06}">
  <dimension ref="A1:J21"/>
  <sheetViews>
    <sheetView tabSelected="1" workbookViewId="0">
      <selection activeCell="J17" sqref="J17"/>
    </sheetView>
  </sheetViews>
  <sheetFormatPr defaultRowHeight="14.5" x14ac:dyDescent="0.35"/>
  <cols>
    <col min="3" max="3" width="12.08984375" bestFit="1" customWidth="1"/>
  </cols>
  <sheetData>
    <row r="1" spans="1:10" x14ac:dyDescent="0.35">
      <c r="A1" t="s">
        <v>10</v>
      </c>
    </row>
    <row r="2" spans="1:10" x14ac:dyDescent="0.35">
      <c r="A2" s="1" t="s">
        <v>0</v>
      </c>
      <c r="B2" s="2" t="s">
        <v>1</v>
      </c>
      <c r="C2" s="2" t="s">
        <v>2</v>
      </c>
      <c r="D2" s="2" t="s">
        <v>12</v>
      </c>
      <c r="E2" s="2" t="s">
        <v>3</v>
      </c>
      <c r="F2" s="2" t="s">
        <v>4</v>
      </c>
      <c r="G2" s="3" t="s">
        <v>5</v>
      </c>
    </row>
    <row r="3" spans="1:10" x14ac:dyDescent="0.35">
      <c r="A3" t="s">
        <v>13</v>
      </c>
      <c r="B3">
        <v>1.55</v>
      </c>
      <c r="C3">
        <f>B3*120%</f>
        <v>1.8599999999999999</v>
      </c>
      <c r="D3">
        <v>1</v>
      </c>
      <c r="E3">
        <f>D3+C3</f>
        <v>2.86</v>
      </c>
      <c r="F3">
        <v>20</v>
      </c>
      <c r="G3" s="4">
        <f>F3*E3</f>
        <v>57.199999999999996</v>
      </c>
      <c r="J3">
        <f>2.86*40</f>
        <v>114.39999999999999</v>
      </c>
    </row>
    <row r="4" spans="1:10" x14ac:dyDescent="0.35">
      <c r="A4" t="s">
        <v>11</v>
      </c>
      <c r="B4">
        <v>1.55</v>
      </c>
      <c r="C4">
        <f>B4*120%</f>
        <v>1.8599999999999999</v>
      </c>
      <c r="D4">
        <v>1</v>
      </c>
      <c r="E4">
        <f>D4+C4</f>
        <v>2.86</v>
      </c>
      <c r="F4">
        <v>20</v>
      </c>
      <c r="G4" s="4">
        <f>F4*E4</f>
        <v>57.199999999999996</v>
      </c>
      <c r="J4">
        <v>10</v>
      </c>
    </row>
    <row r="5" spans="1:10" x14ac:dyDescent="0.35">
      <c r="A5" s="5"/>
      <c r="G5" s="4"/>
      <c r="J5">
        <f>SUM(J3:J4)</f>
        <v>124.39999999999999</v>
      </c>
    </row>
    <row r="6" spans="1:10" x14ac:dyDescent="0.35">
      <c r="A6" s="5"/>
      <c r="C6" t="s">
        <v>6</v>
      </c>
      <c r="D6">
        <v>6</v>
      </c>
      <c r="G6" s="4"/>
      <c r="J6">
        <f>J5*2</f>
        <v>248.79999999999998</v>
      </c>
    </row>
    <row r="7" spans="1:10" x14ac:dyDescent="0.35">
      <c r="A7" s="5"/>
      <c r="C7" t="s">
        <v>7</v>
      </c>
      <c r="D7">
        <f>D6+G3</f>
        <v>63.199999999999996</v>
      </c>
      <c r="G7" s="4"/>
    </row>
    <row r="8" spans="1:10" x14ac:dyDescent="0.35">
      <c r="A8" s="5"/>
      <c r="C8" t="s">
        <v>8</v>
      </c>
      <c r="D8">
        <v>100</v>
      </c>
      <c r="G8" s="4"/>
    </row>
    <row r="9" spans="1:10" x14ac:dyDescent="0.35">
      <c r="A9" s="6"/>
      <c r="B9" s="7"/>
      <c r="C9" s="7" t="s">
        <v>9</v>
      </c>
      <c r="D9" s="7">
        <f>D8-D7</f>
        <v>36.800000000000004</v>
      </c>
      <c r="E9" s="7"/>
      <c r="F9" s="7"/>
      <c r="G9" s="8"/>
    </row>
    <row r="14" spans="1:10" x14ac:dyDescent="0.35">
      <c r="A14" s="1" t="s">
        <v>0</v>
      </c>
      <c r="B14" s="2" t="s">
        <v>1</v>
      </c>
      <c r="C14" s="2" t="s">
        <v>2</v>
      </c>
      <c r="D14" s="2" t="s">
        <v>12</v>
      </c>
      <c r="E14" s="2" t="s">
        <v>3</v>
      </c>
      <c r="F14" s="2" t="s">
        <v>4</v>
      </c>
      <c r="G14" s="3" t="s">
        <v>5</v>
      </c>
    </row>
    <row r="15" spans="1:10" x14ac:dyDescent="0.35">
      <c r="A15" t="s">
        <v>13</v>
      </c>
      <c r="B15">
        <v>1.55</v>
      </c>
      <c r="C15">
        <f>B15*120%</f>
        <v>1.8599999999999999</v>
      </c>
      <c r="D15">
        <v>1</v>
      </c>
      <c r="E15">
        <f>D15+B15</f>
        <v>2.5499999999999998</v>
      </c>
      <c r="F15">
        <v>20</v>
      </c>
      <c r="G15" s="4">
        <f>F15*E15</f>
        <v>51</v>
      </c>
    </row>
    <row r="16" spans="1:10" x14ac:dyDescent="0.35">
      <c r="A16" t="s">
        <v>11</v>
      </c>
      <c r="B16">
        <v>1.55</v>
      </c>
      <c r="C16">
        <f>B16*120%</f>
        <v>1.8599999999999999</v>
      </c>
      <c r="D16">
        <v>1</v>
      </c>
      <c r="E16">
        <f>D16+B16</f>
        <v>2.5499999999999998</v>
      </c>
      <c r="F16">
        <v>20</v>
      </c>
      <c r="G16" s="4">
        <f>F16*E16</f>
        <v>51</v>
      </c>
    </row>
    <row r="17" spans="1:7" x14ac:dyDescent="0.35">
      <c r="A17" s="5"/>
      <c r="G17" s="4"/>
    </row>
    <row r="18" spans="1:7" x14ac:dyDescent="0.35">
      <c r="A18" s="5"/>
      <c r="C18" t="s">
        <v>6</v>
      </c>
      <c r="D18">
        <v>6</v>
      </c>
      <c r="G18" s="4"/>
    </row>
    <row r="19" spans="1:7" x14ac:dyDescent="0.35">
      <c r="A19" s="5"/>
      <c r="C19" t="s">
        <v>7</v>
      </c>
      <c r="D19">
        <f>D18+G15</f>
        <v>57</v>
      </c>
      <c r="G19" s="4"/>
    </row>
    <row r="20" spans="1:7" x14ac:dyDescent="0.35">
      <c r="A20" s="5"/>
      <c r="C20" t="s">
        <v>8</v>
      </c>
      <c r="D20">
        <v>100</v>
      </c>
      <c r="G20" s="4"/>
    </row>
    <row r="21" spans="1:7" x14ac:dyDescent="0.35">
      <c r="A21" s="6"/>
      <c r="B21" s="7"/>
      <c r="C21" s="7" t="s">
        <v>9</v>
      </c>
      <c r="D21" s="7">
        <f>D20-D19</f>
        <v>43</v>
      </c>
      <c r="E21" s="7"/>
      <c r="F21" s="7"/>
      <c r="G2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Moinuddin Qureshi</dc:creator>
  <cp:lastModifiedBy>Moinuddin Qureshi</cp:lastModifiedBy>
  <dcterms:created xsi:type="dcterms:W3CDTF">2025-07-27T10:57:12Z</dcterms:created>
  <dcterms:modified xsi:type="dcterms:W3CDTF">2025-09-18T23:08:13Z</dcterms:modified>
</cp:coreProperties>
</file>