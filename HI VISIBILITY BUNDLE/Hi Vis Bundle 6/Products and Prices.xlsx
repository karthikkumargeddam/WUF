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I VISIBILITY BUNDLE/Hi Vis Bundle 6/"/>
    </mc:Choice>
  </mc:AlternateContent>
  <xr:revisionPtr revIDLastSave="18" documentId="8_{E18D8405-1E7E-4730-9AC5-9B89A5A2BE86}" xr6:coauthVersionLast="47" xr6:coauthVersionMax="47" xr10:uidLastSave="{F0FDD159-B643-4AD2-A6A2-39905F1A402D}"/>
  <bookViews>
    <workbookView xWindow="-110" yWindow="-110" windowWidth="19420" windowHeight="10300" xr2:uid="{6FFFB67C-1198-490B-AE15-96AF22B4C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17" i="1"/>
  <c r="E16" i="1"/>
  <c r="E15" i="1"/>
  <c r="E14" i="1"/>
  <c r="E20" i="1"/>
  <c r="C17" i="1"/>
  <c r="C16" i="1"/>
  <c r="C15" i="1"/>
  <c r="G15" i="1" s="1"/>
  <c r="C14" i="1"/>
  <c r="E9" i="1"/>
  <c r="D9" i="1"/>
  <c r="G6" i="1"/>
  <c r="G5" i="1"/>
  <c r="G4" i="1"/>
  <c r="E6" i="1"/>
  <c r="E5" i="1"/>
  <c r="E4" i="1"/>
  <c r="C6" i="1"/>
  <c r="C5" i="1"/>
  <c r="C4" i="1"/>
  <c r="C3" i="1"/>
  <c r="E3" i="1" s="1"/>
  <c r="G3" i="1" s="1"/>
  <c r="G17" i="1" l="1"/>
  <c r="G16" i="1"/>
  <c r="G14" i="1"/>
  <c r="D20" i="1"/>
  <c r="D22" i="1" s="1"/>
  <c r="D11" i="1"/>
</calcChain>
</file>

<file path=xl/sharedStrings.xml><?xml version="1.0" encoding="utf-8"?>
<sst xmlns="http://schemas.openxmlformats.org/spreadsheetml/2006/main" count="33" uniqueCount="17">
  <si>
    <t>Product Code</t>
  </si>
  <si>
    <t>Price (1)</t>
  </si>
  <si>
    <t>Price incl VAT</t>
  </si>
  <si>
    <t>Embroidery</t>
  </si>
  <si>
    <t>Total (1)</t>
  </si>
  <si>
    <t>Qty</t>
  </si>
  <si>
    <t xml:space="preserve">Bundle </t>
  </si>
  <si>
    <t>Delivery</t>
  </si>
  <si>
    <t>Setup Cost</t>
  </si>
  <si>
    <t>Total Cost</t>
  </si>
  <si>
    <t>Price</t>
  </si>
  <si>
    <t>Margin</t>
  </si>
  <si>
    <t>HIGH VIZ BUNDLE 6</t>
  </si>
  <si>
    <t>RG558 Fleece Jacket</t>
  </si>
  <si>
    <t>RG554 T Shirt</t>
  </si>
  <si>
    <t>RG557 Softshell Jacket</t>
  </si>
  <si>
    <t>RG484 Hoodie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</si>
</sst>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F596-863D-4B96-8F8D-E1D6F755B4BC}">
  <dimension ref="A1:G22"/>
  <sheetViews>
    <sheetView tabSelected="1" workbookViewId="0">
      <selection activeCell="E22" sqref="E22"/>
    </sheetView>
  </sheetViews>
  <sheetFormatPr defaultRowHeight="14.5" x14ac:dyDescent="0.35"/>
  <cols>
    <col min="1" max="1" width="17.7265625" bestFit="1" customWidth="1"/>
  </cols>
  <sheetData>
    <row r="1" spans="1:7" x14ac:dyDescent="0.35">
      <c r="A1" t="s">
        <v>12</v>
      </c>
    </row>
    <row r="2" spans="1: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s="9" customFormat="1" x14ac:dyDescent="0.35">
      <c r="A3" s="9" t="s">
        <v>13</v>
      </c>
      <c r="B3" s="9">
        <v>14.95</v>
      </c>
      <c r="C3" s="9">
        <f>B3*120%</f>
        <v>17.939999999999998</v>
      </c>
      <c r="D3" s="9">
        <v>3.6</v>
      </c>
      <c r="E3" s="9">
        <f>D3+C3</f>
        <v>21.54</v>
      </c>
      <c r="F3" s="9">
        <v>4</v>
      </c>
      <c r="G3" s="10">
        <f>F3*E3</f>
        <v>86.16</v>
      </c>
    </row>
    <row r="4" spans="1:7" x14ac:dyDescent="0.35">
      <c r="A4" s="5" t="s">
        <v>14</v>
      </c>
      <c r="B4">
        <v>5.99</v>
      </c>
      <c r="C4">
        <f>B4*120%</f>
        <v>7.1879999999999997</v>
      </c>
      <c r="D4">
        <v>3.6</v>
      </c>
      <c r="E4">
        <f t="shared" ref="E4:E6" si="0">D4+C4</f>
        <v>10.788</v>
      </c>
      <c r="F4">
        <v>8</v>
      </c>
      <c r="G4" s="4">
        <f t="shared" ref="G4:G6" si="1">F4*E4</f>
        <v>86.304000000000002</v>
      </c>
    </row>
    <row r="5" spans="1:7" x14ac:dyDescent="0.35">
      <c r="A5" s="5" t="s">
        <v>15</v>
      </c>
      <c r="B5">
        <v>15.95</v>
      </c>
      <c r="C5">
        <f t="shared" ref="C5:C6" si="2">B5*120%</f>
        <v>19.139999999999997</v>
      </c>
      <c r="D5">
        <v>3.6</v>
      </c>
      <c r="E5">
        <f t="shared" si="0"/>
        <v>22.74</v>
      </c>
      <c r="F5">
        <v>2</v>
      </c>
      <c r="G5" s="4">
        <f t="shared" si="1"/>
        <v>45.48</v>
      </c>
    </row>
    <row r="6" spans="1:7" s="9" customFormat="1" x14ac:dyDescent="0.35">
      <c r="A6" s="11" t="s">
        <v>16</v>
      </c>
      <c r="B6" s="9">
        <v>16.95</v>
      </c>
      <c r="C6" s="9">
        <f t="shared" si="2"/>
        <v>20.34</v>
      </c>
      <c r="D6" s="9">
        <v>3.6</v>
      </c>
      <c r="E6" s="9">
        <f t="shared" si="0"/>
        <v>23.94</v>
      </c>
      <c r="F6" s="9">
        <v>4</v>
      </c>
      <c r="G6" s="10">
        <f t="shared" si="1"/>
        <v>95.76</v>
      </c>
    </row>
    <row r="7" spans="1:7" x14ac:dyDescent="0.35">
      <c r="A7" s="5"/>
      <c r="C7" t="s">
        <v>7</v>
      </c>
      <c r="D7">
        <v>6</v>
      </c>
      <c r="G7" s="4"/>
    </row>
    <row r="8" spans="1:7" x14ac:dyDescent="0.35">
      <c r="A8" s="5"/>
      <c r="C8" t="s">
        <v>8</v>
      </c>
      <c r="D8">
        <v>10</v>
      </c>
      <c r="G8" s="4"/>
    </row>
    <row r="9" spans="1:7" x14ac:dyDescent="0.35">
      <c r="A9" s="5"/>
      <c r="C9" t="s">
        <v>9</v>
      </c>
      <c r="D9">
        <f>G6+G4+G5+D7+D8</f>
        <v>243.54400000000001</v>
      </c>
      <c r="E9">
        <f>H6+H4+H5+E7+E8</f>
        <v>0</v>
      </c>
      <c r="G9" s="4"/>
    </row>
    <row r="10" spans="1:7" x14ac:dyDescent="0.35">
      <c r="A10" s="5"/>
      <c r="C10" t="s">
        <v>10</v>
      </c>
      <c r="D10">
        <v>350</v>
      </c>
      <c r="G10" s="4"/>
    </row>
    <row r="11" spans="1:7" x14ac:dyDescent="0.35">
      <c r="A11" s="6"/>
      <c r="B11" s="7"/>
      <c r="C11" s="7" t="s">
        <v>11</v>
      </c>
      <c r="D11" s="7">
        <f>D10-D9</f>
        <v>106.45599999999999</v>
      </c>
      <c r="E11" s="7"/>
      <c r="F11" s="7"/>
      <c r="G11" s="8"/>
    </row>
    <row r="13" spans="1:7" x14ac:dyDescent="0.35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3" t="s">
        <v>6</v>
      </c>
    </row>
    <row r="14" spans="1:7" x14ac:dyDescent="0.35">
      <c r="A14" s="9" t="s">
        <v>13</v>
      </c>
      <c r="B14" s="9">
        <v>14.95</v>
      </c>
      <c r="C14" s="9">
        <f>B14*120%</f>
        <v>17.939999999999998</v>
      </c>
      <c r="D14" s="9">
        <v>3</v>
      </c>
      <c r="E14" s="9">
        <f>D14+B14</f>
        <v>17.95</v>
      </c>
      <c r="F14" s="9">
        <v>4</v>
      </c>
      <c r="G14" s="10">
        <f>F14*E14</f>
        <v>71.8</v>
      </c>
    </row>
    <row r="15" spans="1:7" x14ac:dyDescent="0.35">
      <c r="A15" s="5" t="s">
        <v>14</v>
      </c>
      <c r="B15">
        <v>5.99</v>
      </c>
      <c r="C15">
        <f>B15*120%</f>
        <v>7.1879999999999997</v>
      </c>
      <c r="D15" s="9">
        <v>3</v>
      </c>
      <c r="E15">
        <f>D15+B15</f>
        <v>8.99</v>
      </c>
      <c r="F15">
        <v>8</v>
      </c>
      <c r="G15" s="4">
        <f t="shared" ref="G15:G17" si="3">F15*E15</f>
        <v>71.92</v>
      </c>
    </row>
    <row r="16" spans="1:7" x14ac:dyDescent="0.35">
      <c r="A16" s="5" t="s">
        <v>15</v>
      </c>
      <c r="B16">
        <v>15.95</v>
      </c>
      <c r="C16">
        <f t="shared" ref="C16:C17" si="4">B16*120%</f>
        <v>19.139999999999997</v>
      </c>
      <c r="D16" s="9">
        <v>3</v>
      </c>
      <c r="E16">
        <f>D16+B16</f>
        <v>18.95</v>
      </c>
      <c r="F16">
        <v>2</v>
      </c>
      <c r="G16" s="4">
        <f t="shared" si="3"/>
        <v>37.9</v>
      </c>
    </row>
    <row r="17" spans="1:7" x14ac:dyDescent="0.35">
      <c r="A17" s="11" t="s">
        <v>16</v>
      </c>
      <c r="B17" s="9">
        <v>16.95</v>
      </c>
      <c r="C17" s="9">
        <f t="shared" si="4"/>
        <v>20.34</v>
      </c>
      <c r="D17" s="9">
        <v>3</v>
      </c>
      <c r="E17" s="9">
        <f>D17+B17</f>
        <v>19.95</v>
      </c>
      <c r="F17" s="9">
        <v>4</v>
      </c>
      <c r="G17" s="10">
        <f t="shared" si="3"/>
        <v>79.8</v>
      </c>
    </row>
    <row r="18" spans="1:7" x14ac:dyDescent="0.35">
      <c r="A18" s="5"/>
      <c r="C18" t="s">
        <v>7</v>
      </c>
      <c r="D18">
        <v>6</v>
      </c>
      <c r="G18" s="4"/>
    </row>
    <row r="19" spans="1:7" x14ac:dyDescent="0.35">
      <c r="A19" s="5"/>
      <c r="C19" t="s">
        <v>8</v>
      </c>
      <c r="D19">
        <v>10</v>
      </c>
      <c r="G19" s="4"/>
    </row>
    <row r="20" spans="1:7" x14ac:dyDescent="0.35">
      <c r="A20" s="5"/>
      <c r="C20" t="s">
        <v>9</v>
      </c>
      <c r="D20">
        <f>G17+G15+G16+D18+D19</f>
        <v>205.62</v>
      </c>
      <c r="E20">
        <f>H17+H15+H16+E18+E19</f>
        <v>0</v>
      </c>
      <c r="G20" s="4"/>
    </row>
    <row r="21" spans="1:7" x14ac:dyDescent="0.35">
      <c r="A21" s="5"/>
      <c r="C21" t="s">
        <v>10</v>
      </c>
      <c r="D21">
        <v>375</v>
      </c>
      <c r="E21">
        <f>375/1.2</f>
        <v>312.5</v>
      </c>
      <c r="G21" s="4"/>
    </row>
    <row r="22" spans="1:7" x14ac:dyDescent="0.35">
      <c r="A22" s="6"/>
      <c r="B22" s="7"/>
      <c r="C22" s="7" t="s">
        <v>11</v>
      </c>
      <c r="D22" s="7">
        <f>D21-D20</f>
        <v>169.38</v>
      </c>
      <c r="E22" s="7">
        <f>E21-D20</f>
        <v>106.88</v>
      </c>
      <c r="F22" s="7"/>
      <c r="G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2025-07-27T12:06:13Z</dcterms:created>
  <dcterms:modified xsi:type="dcterms:W3CDTF">2025-07-28T20:53:47Z</dcterms:modified>
</cp:coreProperties>
</file>