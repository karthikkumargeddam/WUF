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0e8348742041535/Desktop/Miha/PRODUCTS/PRINTED  AND EMBROIDERY BUNDLES/HOSPITALITY BUNDLE/Food Outlet Bundle/"/>
    </mc:Choice>
  </mc:AlternateContent>
  <xr:revisionPtr revIDLastSave="19" documentId="8_{F9AB5675-CF69-4B18-B1B4-D7F16EC2CC13}" xr6:coauthVersionLast="47" xr6:coauthVersionMax="47" xr10:uidLastSave="{679E7C7D-5465-4C08-B17C-EC53CEA88724}"/>
  <bookViews>
    <workbookView xWindow="-110" yWindow="-110" windowWidth="19420" windowHeight="10300" xr2:uid="{62160701-198B-4390-8B2B-1D116A4128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1" l="1"/>
  <c r="D23" i="1"/>
  <c r="E18" i="1"/>
  <c r="E19" i="1"/>
  <c r="E20" i="1"/>
  <c r="E17" i="1"/>
  <c r="E16" i="1"/>
  <c r="B18" i="1"/>
  <c r="B17" i="1"/>
  <c r="C20" i="1"/>
  <c r="G20" i="1" s="1"/>
  <c r="C19" i="1"/>
  <c r="G19" i="1" s="1"/>
  <c r="G18" i="1"/>
  <c r="G17" i="1"/>
  <c r="C16" i="1"/>
  <c r="I13" i="1"/>
  <c r="D10" i="1"/>
  <c r="G7" i="1"/>
  <c r="E7" i="1"/>
  <c r="C7" i="1"/>
  <c r="C6" i="1"/>
  <c r="E6" i="1" s="1"/>
  <c r="G6" i="1" s="1"/>
  <c r="E5" i="1"/>
  <c r="G5" i="1" s="1"/>
  <c r="E4" i="1"/>
  <c r="G4" i="1" s="1"/>
  <c r="C3" i="1"/>
  <c r="E3" i="1" s="1"/>
  <c r="G3" i="1" s="1"/>
  <c r="G16" i="1" l="1"/>
  <c r="D25" i="1" s="1"/>
  <c r="D12" i="1"/>
</calcChain>
</file>

<file path=xl/sharedStrings.xml><?xml version="1.0" encoding="utf-8"?>
<sst xmlns="http://schemas.openxmlformats.org/spreadsheetml/2006/main" count="35" uniqueCount="18">
  <si>
    <t>Product Code</t>
  </si>
  <si>
    <t>Price (1)</t>
  </si>
  <si>
    <t>Price incl VAT</t>
  </si>
  <si>
    <t>Embroidery</t>
  </si>
  <si>
    <t>Total (1)</t>
  </si>
  <si>
    <t>Qty</t>
  </si>
  <si>
    <t xml:space="preserve">Bundle </t>
  </si>
  <si>
    <t>Delivery</t>
  </si>
  <si>
    <t>Setup Cost</t>
  </si>
  <si>
    <t>Total Cost</t>
  </si>
  <si>
    <t>Price</t>
  </si>
  <si>
    <t>Margin</t>
  </si>
  <si>
    <t>FOOD OUTLET BUNDLE 1</t>
  </si>
  <si>
    <t>PR150 Apron Full</t>
  </si>
  <si>
    <t>PR155 Apron Half</t>
  </si>
  <si>
    <t>UC301 Classic T shirt</t>
  </si>
  <si>
    <t>UC101 Classic Polo</t>
  </si>
  <si>
    <t>BB10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</si>
</sst>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2" borderId="0" xfId="0" applyFill="1"/>
    <xf numFmtId="0" fontId="0" fillId="2" borderId="4" xfId="0" applyFill="1" applyBorder="1"/>
    <xf numFmtId="0" fontId="0" fillId="0" borderId="5" xfId="0" applyBorder="1"/>
    <xf numFmtId="0" fontId="0" fillId="0" borderId="4" xfId="0" applyBorder="1"/>
    <xf numFmtId="0" fontId="0" fillId="2" borderId="5" xfId="0" applyFill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3" borderId="5" xfId="0" applyFill="1" applyBorder="1"/>
    <xf numFmtId="0" fontId="0" fillId="3" borderId="0" xfId="0" applyFill="1"/>
    <xf numFmtId="0" fontId="0" fillId="3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F4D87-591C-40CE-AEE4-24247B3C30DD}">
  <dimension ref="A1:I25"/>
  <sheetViews>
    <sheetView tabSelected="1" topLeftCell="A7" workbookViewId="0">
      <selection activeCell="D25" sqref="D25"/>
    </sheetView>
  </sheetViews>
  <sheetFormatPr defaultRowHeight="14.5" x14ac:dyDescent="0.35"/>
  <cols>
    <col min="1" max="1" width="21.36328125" bestFit="1" customWidth="1"/>
  </cols>
  <sheetData>
    <row r="1" spans="1:9" x14ac:dyDescent="0.35">
      <c r="A1" t="s">
        <v>12</v>
      </c>
    </row>
    <row r="2" spans="1:9" x14ac:dyDescent="0.3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3" t="s">
        <v>6</v>
      </c>
    </row>
    <row r="3" spans="1:9" x14ac:dyDescent="0.35">
      <c r="A3" s="4" t="s">
        <v>13</v>
      </c>
      <c r="B3" s="4">
        <v>4.3499999999999996</v>
      </c>
      <c r="C3" s="4">
        <f>B3*120%</f>
        <v>5.22</v>
      </c>
      <c r="D3" s="4">
        <v>3.6</v>
      </c>
      <c r="E3" s="4">
        <f>D3+C3</f>
        <v>8.82</v>
      </c>
      <c r="F3" s="4">
        <v>4</v>
      </c>
      <c r="G3" s="5">
        <f>F3*E3</f>
        <v>35.28</v>
      </c>
    </row>
    <row r="4" spans="1:9" x14ac:dyDescent="0.35">
      <c r="A4" s="6" t="s">
        <v>15</v>
      </c>
      <c r="C4">
        <v>2.4</v>
      </c>
      <c r="D4">
        <v>3.6</v>
      </c>
      <c r="E4">
        <f t="shared" ref="E4:E7" si="0">D4+C4</f>
        <v>6</v>
      </c>
      <c r="F4">
        <v>4</v>
      </c>
      <c r="G4" s="7">
        <f t="shared" ref="G4:G7" si="1">F4*E4</f>
        <v>24</v>
      </c>
    </row>
    <row r="5" spans="1:9" s="13" customFormat="1" x14ac:dyDescent="0.35">
      <c r="A5" s="12" t="s">
        <v>16</v>
      </c>
      <c r="C5" s="13">
        <v>3.36</v>
      </c>
      <c r="D5" s="13">
        <v>3.6</v>
      </c>
      <c r="E5" s="13">
        <f t="shared" si="0"/>
        <v>6.96</v>
      </c>
      <c r="F5" s="13">
        <v>4</v>
      </c>
      <c r="G5" s="14">
        <f t="shared" si="1"/>
        <v>27.84</v>
      </c>
    </row>
    <row r="6" spans="1:9" x14ac:dyDescent="0.35">
      <c r="A6" s="8" t="s">
        <v>14</v>
      </c>
      <c r="B6" s="4">
        <v>3.95</v>
      </c>
      <c r="C6" s="4">
        <f t="shared" ref="C6:C7" si="2">B6*120%</f>
        <v>4.74</v>
      </c>
      <c r="D6" s="4">
        <v>3.6</v>
      </c>
      <c r="E6" s="4">
        <f t="shared" si="0"/>
        <v>8.34</v>
      </c>
      <c r="F6" s="4">
        <v>4</v>
      </c>
      <c r="G6" s="5">
        <f t="shared" si="1"/>
        <v>33.36</v>
      </c>
    </row>
    <row r="7" spans="1:9" x14ac:dyDescent="0.35">
      <c r="A7" s="6" t="s">
        <v>17</v>
      </c>
      <c r="B7">
        <v>1.89</v>
      </c>
      <c r="C7">
        <f t="shared" si="2"/>
        <v>2.2679999999999998</v>
      </c>
      <c r="D7">
        <v>3.6</v>
      </c>
      <c r="E7">
        <f t="shared" si="0"/>
        <v>5.8680000000000003</v>
      </c>
      <c r="F7">
        <v>4</v>
      </c>
      <c r="G7" s="7">
        <f t="shared" si="1"/>
        <v>23.472000000000001</v>
      </c>
    </row>
    <row r="8" spans="1:9" x14ac:dyDescent="0.35">
      <c r="A8" s="6"/>
      <c r="C8" t="s">
        <v>7</v>
      </c>
      <c r="D8">
        <v>6</v>
      </c>
      <c r="G8" s="7"/>
    </row>
    <row r="9" spans="1:9" x14ac:dyDescent="0.35">
      <c r="A9" s="6"/>
      <c r="C9" t="s">
        <v>8</v>
      </c>
      <c r="D9">
        <v>10</v>
      </c>
      <c r="G9" s="7"/>
    </row>
    <row r="10" spans="1:9" x14ac:dyDescent="0.35">
      <c r="A10" s="6"/>
      <c r="C10" t="s">
        <v>9</v>
      </c>
      <c r="D10">
        <f>G3+G7+G5+D8+D9</f>
        <v>102.592</v>
      </c>
      <c r="G10" s="7"/>
    </row>
    <row r="11" spans="1:9" x14ac:dyDescent="0.35">
      <c r="A11" s="6"/>
      <c r="C11" t="s">
        <v>10</v>
      </c>
      <c r="D11">
        <v>150</v>
      </c>
      <c r="G11" s="7"/>
    </row>
    <row r="12" spans="1:9" x14ac:dyDescent="0.35">
      <c r="A12" s="9"/>
      <c r="B12" s="10"/>
      <c r="C12" s="10" t="s">
        <v>11</v>
      </c>
      <c r="D12" s="10">
        <f>D11-D10</f>
        <v>47.408000000000001</v>
      </c>
      <c r="E12" s="10"/>
      <c r="F12" s="10"/>
      <c r="G12" s="11"/>
    </row>
    <row r="13" spans="1:9" x14ac:dyDescent="0.35">
      <c r="I13">
        <f>150/12</f>
        <v>12.5</v>
      </c>
    </row>
    <row r="15" spans="1:9" x14ac:dyDescent="0.35">
      <c r="A15" s="1" t="s">
        <v>0</v>
      </c>
      <c r="B15" s="2" t="s">
        <v>1</v>
      </c>
      <c r="C15" s="2" t="s">
        <v>2</v>
      </c>
      <c r="D15" s="2" t="s">
        <v>3</v>
      </c>
      <c r="E15" s="2" t="s">
        <v>4</v>
      </c>
      <c r="F15" s="2" t="s">
        <v>5</v>
      </c>
      <c r="G15" s="3" t="s">
        <v>6</v>
      </c>
    </row>
    <row r="16" spans="1:9" x14ac:dyDescent="0.35">
      <c r="A16" s="4" t="s">
        <v>13</v>
      </c>
      <c r="B16" s="4">
        <v>4.3499999999999996</v>
      </c>
      <c r="C16" s="4">
        <f>B16*120%</f>
        <v>5.22</v>
      </c>
      <c r="D16" s="4">
        <v>3</v>
      </c>
      <c r="E16" s="4">
        <f>D16+B16</f>
        <v>7.35</v>
      </c>
      <c r="F16" s="4">
        <v>4</v>
      </c>
      <c r="G16" s="5">
        <f>F16*E16</f>
        <v>29.4</v>
      </c>
    </row>
    <row r="17" spans="1:7" x14ac:dyDescent="0.35">
      <c r="A17" s="6" t="s">
        <v>15</v>
      </c>
      <c r="B17">
        <f>C17/1.2</f>
        <v>2</v>
      </c>
      <c r="C17">
        <v>2.4</v>
      </c>
      <c r="D17" s="4">
        <v>3</v>
      </c>
      <c r="E17">
        <f>D17+B17</f>
        <v>5</v>
      </c>
      <c r="F17">
        <v>4</v>
      </c>
      <c r="G17" s="7">
        <f t="shared" ref="G17:G20" si="3">F17*E17</f>
        <v>20</v>
      </c>
    </row>
    <row r="18" spans="1:7" x14ac:dyDescent="0.35">
      <c r="A18" s="12" t="s">
        <v>16</v>
      </c>
      <c r="B18" s="13">
        <f>C18/1.2</f>
        <v>2.8</v>
      </c>
      <c r="C18" s="13">
        <v>3.36</v>
      </c>
      <c r="D18" s="4">
        <v>3</v>
      </c>
      <c r="E18" s="4">
        <f t="shared" ref="E18:E20" si="4">D18+B18</f>
        <v>5.8</v>
      </c>
      <c r="F18" s="13">
        <v>4</v>
      </c>
      <c r="G18" s="14">
        <f t="shared" si="3"/>
        <v>23.2</v>
      </c>
    </row>
    <row r="19" spans="1:7" x14ac:dyDescent="0.35">
      <c r="A19" s="8" t="s">
        <v>14</v>
      </c>
      <c r="B19" s="4">
        <v>3.95</v>
      </c>
      <c r="C19" s="4">
        <f t="shared" ref="C19:C20" si="5">B19*120%</f>
        <v>4.74</v>
      </c>
      <c r="D19" s="4">
        <v>3</v>
      </c>
      <c r="E19">
        <f t="shared" si="4"/>
        <v>6.95</v>
      </c>
      <c r="F19" s="4">
        <v>4</v>
      </c>
      <c r="G19" s="5">
        <f t="shared" si="3"/>
        <v>27.8</v>
      </c>
    </row>
    <row r="20" spans="1:7" x14ac:dyDescent="0.35">
      <c r="A20" s="6" t="s">
        <v>17</v>
      </c>
      <c r="B20">
        <v>1.89</v>
      </c>
      <c r="C20">
        <f t="shared" si="5"/>
        <v>2.2679999999999998</v>
      </c>
      <c r="D20" s="4">
        <v>3</v>
      </c>
      <c r="E20" s="4">
        <f t="shared" si="4"/>
        <v>4.8899999999999997</v>
      </c>
      <c r="F20">
        <v>4</v>
      </c>
      <c r="G20" s="7">
        <f t="shared" si="3"/>
        <v>19.559999999999999</v>
      </c>
    </row>
    <row r="21" spans="1:7" x14ac:dyDescent="0.35">
      <c r="A21" s="6"/>
      <c r="C21" t="s">
        <v>7</v>
      </c>
      <c r="D21">
        <v>6</v>
      </c>
      <c r="G21" s="7"/>
    </row>
    <row r="22" spans="1:7" x14ac:dyDescent="0.35">
      <c r="A22" s="6"/>
      <c r="C22" t="s">
        <v>8</v>
      </c>
      <c r="D22">
        <v>10</v>
      </c>
      <c r="G22" s="7"/>
    </row>
    <row r="23" spans="1:7" x14ac:dyDescent="0.35">
      <c r="A23" s="6"/>
      <c r="C23" t="s">
        <v>9</v>
      </c>
      <c r="D23">
        <f>G16+G20+G18+D21+D22</f>
        <v>88.16</v>
      </c>
      <c r="G23" s="7"/>
    </row>
    <row r="24" spans="1:7" x14ac:dyDescent="0.35">
      <c r="A24" s="6"/>
      <c r="C24" t="s">
        <v>10</v>
      </c>
      <c r="D24">
        <f>150/1.2</f>
        <v>125</v>
      </c>
      <c r="G24" s="7"/>
    </row>
    <row r="25" spans="1:7" x14ac:dyDescent="0.35">
      <c r="A25" s="9"/>
      <c r="B25" s="10"/>
      <c r="C25" s="10" t="s">
        <v>11</v>
      </c>
      <c r="D25" s="10">
        <f>D24-D23</f>
        <v>36.840000000000003</v>
      </c>
      <c r="E25" s="10"/>
      <c r="F25" s="10"/>
      <c r="G25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Moinuddin Qureshi</dc:creator>
  <cp:lastModifiedBy>Moinuddin Qureshi</cp:lastModifiedBy>
  <dcterms:created xsi:type="dcterms:W3CDTF">2025-07-27T12:58:23Z</dcterms:created>
  <dcterms:modified xsi:type="dcterms:W3CDTF">2025-07-28T21:18:23Z</dcterms:modified>
</cp:coreProperties>
</file>