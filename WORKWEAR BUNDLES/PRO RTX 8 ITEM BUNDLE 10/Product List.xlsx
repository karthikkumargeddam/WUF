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e8348742041535/Desktop/Miha/PRODUCTS/PRINTED  AND EMBROIDERY BUNDLES/WORKWEAR BUNDLES/8 ITEM BUNDLE 9/"/>
    </mc:Choice>
  </mc:AlternateContent>
  <xr:revisionPtr revIDLastSave="0" documentId="8_{587A954F-C7CB-47BF-A0D7-F9C802ACD48C}" xr6:coauthVersionLast="47" xr6:coauthVersionMax="47" xr10:uidLastSave="{00000000-0000-0000-0000-000000000000}"/>
  <bookViews>
    <workbookView xWindow="-110" yWindow="-110" windowWidth="19420" windowHeight="10300" xr2:uid="{611B2358-BBDA-48BD-B6CB-2350C19F54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C8" i="1"/>
  <c r="E8" i="1" s="1"/>
  <c r="G8" i="1" s="1"/>
  <c r="C7" i="1"/>
  <c r="E7" i="1" s="1"/>
  <c r="G7" i="1" s="1"/>
  <c r="C6" i="1"/>
  <c r="E6" i="1" s="1"/>
  <c r="G6" i="1" s="1"/>
  <c r="C5" i="1"/>
  <c r="E5" i="1" s="1"/>
  <c r="G5" i="1" s="1"/>
  <c r="C4" i="1"/>
  <c r="E4" i="1" s="1"/>
  <c r="G4" i="1" s="1"/>
  <c r="C3" i="1"/>
  <c r="E3" i="1" s="1"/>
  <c r="G3" i="1" s="1"/>
  <c r="D14" i="1" s="1"/>
</calcChain>
</file>

<file path=xl/sharedStrings.xml><?xml version="1.0" encoding="utf-8"?>
<sst xmlns="http://schemas.openxmlformats.org/spreadsheetml/2006/main" count="19" uniqueCount="19">
  <si>
    <t>Product Code</t>
  </si>
  <si>
    <t>Price (1)</t>
  </si>
  <si>
    <t>Price incl VAT</t>
  </si>
  <si>
    <t>Embroidery</t>
  </si>
  <si>
    <t>Total (1)</t>
  </si>
  <si>
    <t>Qty</t>
  </si>
  <si>
    <t xml:space="preserve">Bundle </t>
  </si>
  <si>
    <t>Delivery</t>
  </si>
  <si>
    <t>Setup Cost</t>
  </si>
  <si>
    <t>Total Cost</t>
  </si>
  <si>
    <t>Price</t>
  </si>
  <si>
    <t>Margin</t>
  </si>
  <si>
    <t>8 Item Bundle</t>
  </si>
  <si>
    <t>RX101</t>
  </si>
  <si>
    <t>RX151</t>
  </si>
  <si>
    <t>RS238 Gillet</t>
  </si>
  <si>
    <t>RS237 Jacket</t>
  </si>
  <si>
    <t>RX350 Hoodie</t>
  </si>
  <si>
    <t>RX301 Sweat 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</si>
</sst>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0" borderId="4" xfId="0" applyFill="1" applyBorder="1"/>
    <xf numFmtId="0" fontId="0" fillId="0" borderId="0" xfId="0" applyFill="1"/>
    <xf numFmtId="0" fontId="0" fillId="0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382A8-59A9-4C15-9266-A92381BFFE9D}">
  <dimension ref="A1:G14"/>
  <sheetViews>
    <sheetView tabSelected="1" workbookViewId="0">
      <selection activeCell="F21" sqref="F21"/>
    </sheetView>
  </sheetViews>
  <sheetFormatPr defaultRowHeight="14.5" x14ac:dyDescent="0.35"/>
  <cols>
    <col min="1" max="1" width="22.6328125" bestFit="1" customWidth="1"/>
    <col min="3" max="3" width="12.08984375" bestFit="1" customWidth="1"/>
  </cols>
  <sheetData>
    <row r="1" spans="1:7" x14ac:dyDescent="0.35">
      <c r="A1" t="s">
        <v>12</v>
      </c>
    </row>
    <row r="2" spans="1:7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</row>
    <row r="3" spans="1:7" x14ac:dyDescent="0.35">
      <c r="A3" s="4" t="s">
        <v>13</v>
      </c>
      <c r="B3">
        <v>2.89</v>
      </c>
      <c r="C3">
        <f>B3*120%</f>
        <v>3.468</v>
      </c>
      <c r="D3">
        <v>3.6</v>
      </c>
      <c r="E3">
        <f>D3+C3</f>
        <v>7.0679999999999996</v>
      </c>
      <c r="F3">
        <v>4</v>
      </c>
      <c r="G3" s="5">
        <f>F3*E3</f>
        <v>28.271999999999998</v>
      </c>
    </row>
    <row r="4" spans="1:7" s="10" customFormat="1" x14ac:dyDescent="0.35">
      <c r="A4" s="9" t="s">
        <v>14</v>
      </c>
      <c r="B4" s="10">
        <v>2.75</v>
      </c>
      <c r="C4" s="10">
        <f>B4*120%</f>
        <v>3.3</v>
      </c>
      <c r="D4" s="10">
        <v>3.6</v>
      </c>
      <c r="E4" s="10">
        <f>D4+C4</f>
        <v>6.9</v>
      </c>
      <c r="F4" s="10">
        <v>4</v>
      </c>
      <c r="G4" s="11">
        <f>F4*E4</f>
        <v>27.6</v>
      </c>
    </row>
    <row r="5" spans="1:7" x14ac:dyDescent="0.35">
      <c r="A5" s="4" t="s">
        <v>16</v>
      </c>
      <c r="B5">
        <v>17.95</v>
      </c>
      <c r="C5">
        <f t="shared" ref="C5:C8" si="0">B5*120%</f>
        <v>21.54</v>
      </c>
      <c r="D5">
        <v>3.6</v>
      </c>
      <c r="E5">
        <f t="shared" ref="E5:E6" si="1">D5+C5</f>
        <v>25.14</v>
      </c>
      <c r="F5">
        <v>1</v>
      </c>
      <c r="G5" s="5">
        <f t="shared" ref="G5:G6" si="2">F5*E5</f>
        <v>25.14</v>
      </c>
    </row>
    <row r="6" spans="1:7" s="10" customFormat="1" x14ac:dyDescent="0.35">
      <c r="A6" s="9" t="s">
        <v>15</v>
      </c>
      <c r="B6" s="10">
        <v>14.95</v>
      </c>
      <c r="C6" s="10">
        <f t="shared" si="0"/>
        <v>17.939999999999998</v>
      </c>
      <c r="D6" s="10">
        <v>3.6</v>
      </c>
      <c r="E6" s="10">
        <f t="shared" si="1"/>
        <v>21.54</v>
      </c>
      <c r="F6" s="10">
        <v>1</v>
      </c>
      <c r="G6" s="11">
        <f t="shared" si="2"/>
        <v>21.54</v>
      </c>
    </row>
    <row r="7" spans="1:7" s="13" customFormat="1" x14ac:dyDescent="0.35">
      <c r="A7" s="12" t="s">
        <v>17</v>
      </c>
      <c r="B7" s="13">
        <v>7.5</v>
      </c>
      <c r="C7" s="13">
        <f t="shared" si="0"/>
        <v>9</v>
      </c>
      <c r="D7" s="13">
        <v>3.6</v>
      </c>
      <c r="E7" s="13">
        <f t="shared" ref="E7:E8" si="3">D7+C7</f>
        <v>12.6</v>
      </c>
      <c r="F7" s="13">
        <v>3</v>
      </c>
      <c r="G7" s="14">
        <f t="shared" ref="G7:G8" si="4">F7*E7</f>
        <v>37.799999999999997</v>
      </c>
    </row>
    <row r="8" spans="1:7" s="10" customFormat="1" x14ac:dyDescent="0.35">
      <c r="A8" s="9" t="s">
        <v>18</v>
      </c>
      <c r="B8" s="10">
        <v>5.75</v>
      </c>
      <c r="C8" s="10">
        <f t="shared" si="0"/>
        <v>6.8999999999999995</v>
      </c>
      <c r="D8" s="10">
        <v>3.6</v>
      </c>
      <c r="E8" s="10">
        <f t="shared" si="3"/>
        <v>10.5</v>
      </c>
      <c r="F8" s="10">
        <v>3</v>
      </c>
      <c r="G8" s="11">
        <f t="shared" si="4"/>
        <v>31.5</v>
      </c>
    </row>
    <row r="9" spans="1:7" x14ac:dyDescent="0.35">
      <c r="A9" s="4"/>
      <c r="G9" s="5"/>
    </row>
    <row r="10" spans="1:7" x14ac:dyDescent="0.35">
      <c r="A10" s="4"/>
      <c r="C10" t="s">
        <v>7</v>
      </c>
      <c r="D10">
        <v>6</v>
      </c>
      <c r="G10" s="5"/>
    </row>
    <row r="11" spans="1:7" x14ac:dyDescent="0.35">
      <c r="A11" s="4"/>
      <c r="C11" t="s">
        <v>8</v>
      </c>
      <c r="D11">
        <v>10</v>
      </c>
      <c r="G11" s="5"/>
    </row>
    <row r="12" spans="1:7" x14ac:dyDescent="0.35">
      <c r="A12" s="4"/>
      <c r="C12" t="s">
        <v>9</v>
      </c>
      <c r="D12">
        <f>G3+G5+G7+D10+D11</f>
        <v>107.21199999999999</v>
      </c>
      <c r="G12" s="5"/>
    </row>
    <row r="13" spans="1:7" x14ac:dyDescent="0.35">
      <c r="A13" s="4"/>
      <c r="C13" t="s">
        <v>10</v>
      </c>
      <c r="D13">
        <v>140</v>
      </c>
      <c r="G13" s="5"/>
    </row>
    <row r="14" spans="1:7" x14ac:dyDescent="0.35">
      <c r="A14" s="6"/>
      <c r="B14" s="7"/>
      <c r="C14" s="7" t="s">
        <v>11</v>
      </c>
      <c r="D14" s="7">
        <f>D13-D12</f>
        <v>32.788000000000011</v>
      </c>
      <c r="E14" s="7"/>
      <c r="F14" s="7"/>
      <c r="G1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Moinuddin Qureshi</dc:creator>
  <cp:lastModifiedBy>Moinuddin Qureshi</cp:lastModifiedBy>
  <dcterms:created xsi:type="dcterms:W3CDTF">2025-07-27T14:52:51Z</dcterms:created>
  <dcterms:modified xsi:type="dcterms:W3CDTF">2025-07-27T15:42:06Z</dcterms:modified>
</cp:coreProperties>
</file>