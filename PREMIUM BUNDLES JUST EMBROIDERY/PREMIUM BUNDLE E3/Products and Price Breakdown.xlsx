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Embroidery Bundle/PREMIUM BUNDLE E3/"/>
    </mc:Choice>
  </mc:AlternateContent>
  <xr:revisionPtr revIDLastSave="0" documentId="8_{A9334029-BFC8-46BF-822E-DBF8489C92E3}" xr6:coauthVersionLast="47" xr6:coauthVersionMax="47" xr10:uidLastSave="{00000000-0000-0000-0000-000000000000}"/>
  <bookViews>
    <workbookView xWindow="-110" yWindow="-110" windowWidth="19420" windowHeight="10300" xr2:uid="{04FBB05B-0F38-47CB-BFDD-733186E67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F12" i="1" s="1"/>
  <c r="G12" i="1" s="1"/>
  <c r="C11" i="1"/>
  <c r="F11" i="1" s="1"/>
  <c r="G11" i="1" s="1"/>
  <c r="C10" i="1"/>
  <c r="F10" i="1" s="1"/>
  <c r="G10" i="1" s="1"/>
  <c r="C9" i="1"/>
  <c r="F9" i="1" s="1"/>
  <c r="G9" i="1" s="1"/>
  <c r="C8" i="1"/>
  <c r="F8" i="1" s="1"/>
  <c r="G8" i="1" s="1"/>
  <c r="C7" i="1"/>
  <c r="F7" i="1" s="1"/>
  <c r="G7" i="1" s="1"/>
  <c r="C6" i="1"/>
  <c r="F6" i="1" s="1"/>
  <c r="G6" i="1" s="1"/>
  <c r="F17" i="1" l="1"/>
  <c r="F20" i="1" s="1"/>
  <c r="F22" i="1" s="1"/>
</calcChain>
</file>

<file path=xl/sharedStrings.xml><?xml version="1.0" encoding="utf-8"?>
<sst xmlns="http://schemas.openxmlformats.org/spreadsheetml/2006/main" count="18" uniqueCount="16">
  <si>
    <t>Price</t>
  </si>
  <si>
    <t>Price with Vat</t>
  </si>
  <si>
    <t>Embroidery</t>
  </si>
  <si>
    <t>Cost</t>
  </si>
  <si>
    <t>Delivery</t>
  </si>
  <si>
    <t>Setup Cost</t>
  </si>
  <si>
    <t>Qty</t>
  </si>
  <si>
    <t>RX101 Polo T shirt</t>
  </si>
  <si>
    <t>RX151 Crew Neck</t>
  </si>
  <si>
    <t>RX301 Sweatshirt</t>
  </si>
  <si>
    <t>RX350 Hoodie</t>
  </si>
  <si>
    <t>BTK1 Beanie Hat</t>
  </si>
  <si>
    <t>RX550 Pro RTX Pro Two Layer Soft Shell Gilet</t>
  </si>
  <si>
    <t>Total Cost</t>
  </si>
  <si>
    <t>Bundle Cost</t>
  </si>
  <si>
    <t>RX401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</si>
</sst>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DDCF-3B17-4067-8947-612EBFFB830B}">
  <dimension ref="A1:I22"/>
  <sheetViews>
    <sheetView tabSelected="1" workbookViewId="0">
      <selection activeCell="D14" sqref="D14"/>
    </sheetView>
  </sheetViews>
  <sheetFormatPr defaultColWidth="10.36328125" defaultRowHeight="15" customHeight="1" x14ac:dyDescent="0.35"/>
  <cols>
    <col min="1" max="1" width="36.26953125" bestFit="1" customWidth="1"/>
    <col min="3" max="3" width="12.1796875" bestFit="1" customWidth="1"/>
    <col min="4" max="4" width="11.81640625" customWidth="1"/>
  </cols>
  <sheetData>
    <row r="1" spans="1:9" ht="15" customHeight="1" x14ac:dyDescent="0.35">
      <c r="B1" s="2"/>
      <c r="C1" s="3"/>
      <c r="D1" s="3"/>
      <c r="E1" s="3"/>
      <c r="F1" s="3"/>
      <c r="G1" s="3"/>
      <c r="H1" s="3"/>
      <c r="I1" s="3"/>
    </row>
    <row r="2" spans="1:9" ht="15" customHeight="1" x14ac:dyDescent="0.35">
      <c r="B2" s="2"/>
      <c r="C2" s="4"/>
      <c r="D2" s="4"/>
      <c r="E2" s="4"/>
      <c r="F2" s="4"/>
      <c r="G2" s="4"/>
      <c r="H2" s="4"/>
      <c r="I2" s="4"/>
    </row>
    <row r="3" spans="1:9" ht="15" customHeight="1" x14ac:dyDescent="0.35">
      <c r="B3" s="2"/>
      <c r="C3" s="5"/>
      <c r="D3" s="5"/>
      <c r="E3" s="5"/>
      <c r="F3" s="5"/>
      <c r="G3" s="5"/>
      <c r="H3" s="5"/>
      <c r="I3" s="5"/>
    </row>
    <row r="4" spans="1:9" ht="15" customHeight="1" x14ac:dyDescent="0.35">
      <c r="B4" s="2"/>
      <c r="C4" s="5"/>
      <c r="D4" s="5"/>
      <c r="E4" s="5"/>
      <c r="F4" s="5"/>
      <c r="G4" s="5"/>
      <c r="H4" s="5"/>
      <c r="I4" s="5"/>
    </row>
    <row r="5" spans="1:9" s="1" customFormat="1" ht="15" customHeight="1" x14ac:dyDescent="0.35">
      <c r="B5" s="1" t="s">
        <v>0</v>
      </c>
      <c r="C5" s="1" t="s">
        <v>1</v>
      </c>
      <c r="D5" s="1" t="s">
        <v>6</v>
      </c>
      <c r="E5" s="1" t="s">
        <v>2</v>
      </c>
      <c r="F5" s="2" t="s">
        <v>3</v>
      </c>
      <c r="G5" s="1" t="s">
        <v>13</v>
      </c>
    </row>
    <row r="6" spans="1:9" ht="15" customHeight="1" x14ac:dyDescent="0.35">
      <c r="A6" t="s">
        <v>7</v>
      </c>
      <c r="B6" s="6">
        <v>2.89</v>
      </c>
      <c r="C6" s="6">
        <f t="shared" ref="C6:C12" si="0">B6*120%</f>
        <v>3.468</v>
      </c>
      <c r="D6" s="6">
        <v>5</v>
      </c>
      <c r="E6" s="6">
        <v>3.6</v>
      </c>
      <c r="F6" s="6">
        <f t="shared" ref="F6:F12" si="1">C6+E6</f>
        <v>7.0679999999999996</v>
      </c>
      <c r="G6">
        <f>F6*D6</f>
        <v>35.339999999999996</v>
      </c>
    </row>
    <row r="7" spans="1:9" s="7" customFormat="1" ht="15" customHeight="1" x14ac:dyDescent="0.35">
      <c r="A7" s="7" t="s">
        <v>8</v>
      </c>
      <c r="B7" s="8">
        <v>2.75</v>
      </c>
      <c r="C7" s="8">
        <f t="shared" si="0"/>
        <v>3.3</v>
      </c>
      <c r="D7" s="8">
        <v>5</v>
      </c>
      <c r="E7" s="8">
        <v>3.6</v>
      </c>
      <c r="F7" s="8">
        <f t="shared" si="1"/>
        <v>6.9</v>
      </c>
      <c r="G7" s="7">
        <f>F7*D7</f>
        <v>34.5</v>
      </c>
    </row>
    <row r="8" spans="1:9" ht="15" customHeight="1" x14ac:dyDescent="0.35">
      <c r="A8" t="s">
        <v>9</v>
      </c>
      <c r="B8" s="6">
        <v>5.75</v>
      </c>
      <c r="C8" s="6">
        <f t="shared" si="0"/>
        <v>6.8999999999999995</v>
      </c>
      <c r="D8" s="6">
        <v>3</v>
      </c>
      <c r="E8" s="6">
        <v>3.6</v>
      </c>
      <c r="F8" s="6">
        <f t="shared" si="1"/>
        <v>10.5</v>
      </c>
      <c r="G8">
        <f t="shared" ref="G8:G12" si="2">F8*D8</f>
        <v>31.5</v>
      </c>
    </row>
    <row r="9" spans="1:9" s="7" customFormat="1" ht="15" customHeight="1" x14ac:dyDescent="0.35">
      <c r="A9" s="7" t="s">
        <v>10</v>
      </c>
      <c r="B9" s="8">
        <v>7.5</v>
      </c>
      <c r="C9" s="8">
        <f t="shared" si="0"/>
        <v>9</v>
      </c>
      <c r="D9" s="8">
        <v>3</v>
      </c>
      <c r="E9" s="8">
        <v>3.6</v>
      </c>
      <c r="F9" s="8">
        <f t="shared" si="1"/>
        <v>12.6</v>
      </c>
      <c r="G9" s="7">
        <f t="shared" si="2"/>
        <v>37.799999999999997</v>
      </c>
    </row>
    <row r="10" spans="1:9" s="7" customFormat="1" ht="15" customHeight="1" x14ac:dyDescent="0.35">
      <c r="A10" s="7" t="s">
        <v>15</v>
      </c>
      <c r="B10" s="8">
        <v>7.75</v>
      </c>
      <c r="C10" s="8">
        <f t="shared" si="0"/>
        <v>9.2999999999999989</v>
      </c>
      <c r="D10" s="8">
        <v>3</v>
      </c>
      <c r="E10" s="8">
        <v>3.6</v>
      </c>
      <c r="F10" s="8">
        <f t="shared" si="1"/>
        <v>12.899999999999999</v>
      </c>
      <c r="G10" s="7">
        <f t="shared" si="2"/>
        <v>38.699999999999996</v>
      </c>
    </row>
    <row r="11" spans="1:9" ht="15" customHeight="1" x14ac:dyDescent="0.35">
      <c r="A11" t="s">
        <v>11</v>
      </c>
      <c r="B11" s="6">
        <v>4.5</v>
      </c>
      <c r="C11" s="6">
        <f t="shared" si="0"/>
        <v>5.3999999999999995</v>
      </c>
      <c r="D11" s="6">
        <v>1</v>
      </c>
      <c r="E11" s="6">
        <v>3.6</v>
      </c>
      <c r="F11" s="6">
        <f t="shared" si="1"/>
        <v>9</v>
      </c>
      <c r="G11">
        <f t="shared" si="2"/>
        <v>9</v>
      </c>
    </row>
    <row r="12" spans="1:9" s="7" customFormat="1" ht="15" customHeight="1" x14ac:dyDescent="0.35">
      <c r="A12" s="7" t="s">
        <v>12</v>
      </c>
      <c r="B12" s="8">
        <v>8.99</v>
      </c>
      <c r="C12" s="8">
        <f t="shared" si="0"/>
        <v>10.788</v>
      </c>
      <c r="D12" s="8">
        <v>1</v>
      </c>
      <c r="E12" s="8">
        <v>3.6</v>
      </c>
      <c r="F12" s="8">
        <f t="shared" si="1"/>
        <v>14.388</v>
      </c>
      <c r="G12" s="9">
        <f t="shared" si="2"/>
        <v>14.388</v>
      </c>
    </row>
    <row r="17" spans="2:6" ht="15" customHeight="1" x14ac:dyDescent="0.35">
      <c r="B17" t="s">
        <v>14</v>
      </c>
      <c r="F17">
        <f>G6+G10+G11+G12</f>
        <v>97.427999999999997</v>
      </c>
    </row>
    <row r="18" spans="2:6" ht="15" customHeight="1" x14ac:dyDescent="0.35">
      <c r="B18" t="s">
        <v>4</v>
      </c>
      <c r="F18">
        <v>6</v>
      </c>
    </row>
    <row r="19" spans="2:6" ht="15" customHeight="1" x14ac:dyDescent="0.35">
      <c r="B19" t="s">
        <v>5</v>
      </c>
      <c r="F19">
        <v>10</v>
      </c>
    </row>
    <row r="20" spans="2:6" ht="15" customHeight="1" x14ac:dyDescent="0.35">
      <c r="B20" t="s">
        <v>13</v>
      </c>
      <c r="F20">
        <f>SUM(F17:F19)</f>
        <v>113.428</v>
      </c>
    </row>
    <row r="21" spans="2:6" ht="15" customHeight="1" x14ac:dyDescent="0.35">
      <c r="B21" t="s">
        <v>0</v>
      </c>
      <c r="F21">
        <v>150</v>
      </c>
    </row>
    <row r="22" spans="2:6" ht="15" customHeight="1" x14ac:dyDescent="0.35">
      <c r="F22">
        <f>F21-F20</f>
        <v>36.572000000000003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cp:lastPrinted>2025-07-25T01:41:25Z</cp:lastPrinted>
  <dcterms:created xsi:type="dcterms:W3CDTF">2025-07-24T20:21:28Z</dcterms:created>
  <dcterms:modified xsi:type="dcterms:W3CDTF">2025-07-26T22:52:42Z</dcterms:modified>
</cp:coreProperties>
</file>